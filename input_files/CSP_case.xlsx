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m_/v6c97p3x1mg6bmvchddj43dc0000gn/T/fz3temp-2/"/>
    </mc:Choice>
  </mc:AlternateContent>
  <xr:revisionPtr revIDLastSave="0" documentId="13_ncr:1_{3BA94ACD-8733-F54B-8BB1-880CCCCCCB7E}" xr6:coauthVersionLast="47" xr6:coauthVersionMax="47" xr10:uidLastSave="{00000000-0000-0000-0000-000000000000}"/>
  <bookViews>
    <workbookView xWindow="0" yWindow="760" windowWidth="28800" windowHeight="15760" xr2:uid="{00000000-000D-0000-FFFF-FFFF00000000}"/>
  </bookViews>
  <sheets>
    <sheet name="case_input_intermodel_one_nod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L51" i="1"/>
  <c r="B33" i="1" l="1"/>
  <c r="B34" i="1" l="1"/>
</calcChain>
</file>

<file path=xl/sharedStrings.xml><?xml version="1.0" encoding="utf-8"?>
<sst xmlns="http://schemas.openxmlformats.org/spreadsheetml/2006/main" count="149" uniqueCount="103">
  <si>
    <t>Note that demand has no decisions.</t>
  </si>
  <si>
    <t>Note that unmet demand is represented a source with a variable cost only, so unmet demand has an output decision.</t>
  </si>
  <si>
    <t>REQUIRED KEYWORDS</t>
  </si>
  <si>
    <t>OPTIONAL KEYWORDS</t>
  </si>
  <si>
    <t>CASE_DATA</t>
  </si>
  <si>
    <t>case_name</t>
  </si>
  <si>
    <t>output_path</t>
  </si>
  <si>
    <t>numerics_scaling</t>
  </si>
  <si>
    <t>efficiency</t>
  </si>
  <si>
    <t>END_CASE_DATA</t>
  </si>
  <si>
    <t>load</t>
  </si>
  <si>
    <t>component</t>
  </si>
  <si>
    <t>name</t>
  </si>
  <si>
    <t>bus</t>
  </si>
  <si>
    <t>capital_cost</t>
  </si>
  <si>
    <t>marginal_cost</t>
  </si>
  <si>
    <t>max_hours</t>
  </si>
  <si>
    <t>standing_loss</t>
  </si>
  <si>
    <t>Note that for MEM, storage is in energy units whereas for PyPSA it is in power units.</t>
  </si>
  <si>
    <t>cyclic_state_of_charge</t>
  </si>
  <si>
    <t>bus1</t>
  </si>
  <si>
    <t>filename_prefix</t>
  </si>
  <si>
    <t>datetime_start</t>
  </si>
  <si>
    <t>datetime_end</t>
  </si>
  <si>
    <t>output_data</t>
  </si>
  <si>
    <t>input_path</t>
  </si>
  <si>
    <t>Note: Dates must be formatted as text (not excel date format)</t>
  </si>
  <si>
    <t>Note that any information that is in a column without an attribute header is consider a comment, and not used.</t>
  </si>
  <si>
    <t>logging_level</t>
  </si>
  <si>
    <t>time_series_file</t>
  </si>
  <si>
    <t>Generator</t>
  </si>
  <si>
    <t>Load</t>
  </si>
  <si>
    <t>Note that H46-H52  contain formulas, and our PyPSA front end will read this in as a value.</t>
  </si>
  <si>
    <t>Note: Can be error, warning, info, or debug and specifies level of detail in terminal output</t>
  </si>
  <si>
    <t>Note: Factor to avoid rounding in Gurobi solver for small values</t>
  </si>
  <si>
    <t>carrier</t>
  </si>
  <si>
    <t>PyPSA case input file</t>
  </si>
  <si>
    <t>PyPSA component type</t>
  </si>
  <si>
    <t>Unique name of the component</t>
  </si>
  <si>
    <t>Name of bus from which this technology would get or give its energy (or in the case of link, the giving bus)</t>
  </si>
  <si>
    <t>Name of time series file that will get loaded</t>
  </si>
  <si>
    <t>Fixed cost, if not defined default is 0</t>
  </si>
  <si>
    <t>Marginal cost, if not defined default is 0</t>
  </si>
  <si>
    <t xml:space="preserve">Hours at max capacity for StorageUnit </t>
  </si>
  <si>
    <t>Efficiency of component</t>
  </si>
  <si>
    <t>Assume cyclic state of charge for StorageUnit (Boolean)</t>
  </si>
  <si>
    <t>Losses per hour to state of charge</t>
  </si>
  <si>
    <t>Information about PyPSA components and their attributes can be found here: https://pypsa.readthedocs.io/en/latest/components.html</t>
  </si>
  <si>
    <t>Note: For StorageUnit, efficiency is interpreted as efficiency_store</t>
  </si>
  <si>
    <t>Note: For Link, bus is interpreted as bus0</t>
  </si>
  <si>
    <t>time_unit</t>
  </si>
  <si>
    <t>currency</t>
  </si>
  <si>
    <t>h</t>
  </si>
  <si>
    <t>$</t>
  </si>
  <si>
    <t>Note: p_nom is a factor multiplied to the given capacity</t>
  </si>
  <si>
    <t>Note: If there is a # in front of component (e.g. #Generator), this row will be ignored</t>
  </si>
  <si>
    <t>delta_t</t>
  </si>
  <si>
    <t>Note: Capital costs are the product of hourly fixed costs and time_range</t>
  </si>
  <si>
    <t>Note: this assumes time unit for dt is 'hour'</t>
  </si>
  <si>
    <t>no_time_steps</t>
  </si>
  <si>
    <t>total_hours</t>
  </si>
  <si>
    <t>Everything outside of  the &lt;CASE_DATA&gt; or &lt;COMPONENT_DATA&gt;  flag is for notes, etc.</t>
  </si>
  <si>
    <t>COMPONENT_DATA</t>
  </si>
  <si>
    <t>END_COMPONENT_DATA</t>
  </si>
  <si>
    <t>costs_path</t>
  </si>
  <si>
    <t>p_min_pu</t>
  </si>
  <si>
    <t>Note: p_min_pu allow bidirectionality of link</t>
  </si>
  <si>
    <t>solver</t>
  </si>
  <si>
    <t>gurobi</t>
  </si>
  <si>
    <t>power_unit</t>
  </si>
  <si>
    <t>info</t>
  </si>
  <si>
    <t>S</t>
  </si>
  <si>
    <t>electricity</t>
  </si>
  <si>
    <t>lifetime</t>
  </si>
  <si>
    <t>MW</t>
  </si>
  <si>
    <t>input_files</t>
  </si>
  <si>
    <t>p_set</t>
  </si>
  <si>
    <t>p_max_pu</t>
  </si>
  <si>
    <t>csp_test</t>
  </si>
  <si>
    <t>csp_test_case</t>
  </si>
  <si>
    <t>concentrated solar</t>
  </si>
  <si>
    <t>2023-01-01 00:00:00</t>
  </si>
  <si>
    <t>db</t>
  </si>
  <si>
    <t>heat</t>
  </si>
  <si>
    <t>solar</t>
  </si>
  <si>
    <t>gas boiler steam</t>
  </si>
  <si>
    <t>gas boiler</t>
  </si>
  <si>
    <t>Link</t>
  </si>
  <si>
    <t>electric boiler steam</t>
  </si>
  <si>
    <t>electric boiler</t>
  </si>
  <si>
    <t>molten salt storage</t>
  </si>
  <si>
    <t>salt</t>
  </si>
  <si>
    <t>#Link</t>
  </si>
  <si>
    <t>#Store</t>
  </si>
  <si>
    <t>input_files/costs_concentrated_solar.csv</t>
  </si>
  <si>
    <t>Molten-Salt-charger glasspoint</t>
  </si>
  <si>
    <t>Molten-Salt-discharger glasspoint</t>
  </si>
  <si>
    <t>molten salt disbicharger</t>
  </si>
  <si>
    <t>molten salt charger</t>
  </si>
  <si>
    <t>Molten-Salt-store glasspoint</t>
  </si>
  <si>
    <t>solar-utility single-axis tracking</t>
  </si>
  <si>
    <t>csp glasspoint</t>
  </si>
  <si>
    <t>2023-12-31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</si>
</sst>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 (Body)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16" fillId="0" borderId="0" xfId="0" applyFont="1" applyAlignment="1">
      <alignment wrapText="1"/>
    </xf>
    <xf numFmtId="0" fontId="0" fillId="3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16" fillId="0" borderId="0" xfId="0" applyFont="1"/>
    <xf numFmtId="0" fontId="0" fillId="34" borderId="0" xfId="0" applyFill="1"/>
    <xf numFmtId="49" fontId="0" fillId="34" borderId="0" xfId="0" applyNumberFormat="1" applyFill="1"/>
    <xf numFmtId="0" fontId="18" fillId="0" borderId="0" xfId="0" applyFont="1"/>
    <xf numFmtId="0" fontId="19" fillId="0" borderId="0" xfId="0" applyFont="1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24" zoomScaleNormal="110" workbookViewId="0">
      <selection activeCell="B31" sqref="B31"/>
    </sheetView>
  </sheetViews>
  <sheetFormatPr baseColWidth="10" defaultColWidth="8.83203125" defaultRowHeight="15" x14ac:dyDescent="0.2"/>
  <cols>
    <col min="1" max="1" width="20.5" customWidth="1"/>
    <col min="2" max="3" width="25" customWidth="1"/>
    <col min="4" max="4" width="10.1640625" customWidth="1"/>
    <col min="5" max="5" width="13.83203125" customWidth="1"/>
    <col min="6" max="6" width="10.1640625" customWidth="1"/>
    <col min="7" max="7" width="8.5" customWidth="1"/>
    <col min="8" max="8" width="11.33203125" customWidth="1"/>
    <col min="9" max="9" width="13.5" customWidth="1"/>
    <col min="10" max="10" width="18.1640625" customWidth="1"/>
    <col min="11" max="11" width="15.33203125" customWidth="1"/>
    <col min="12" max="12" width="11.1640625" customWidth="1"/>
    <col min="13" max="13" width="15.6640625" customWidth="1"/>
    <col min="14" max="14" width="19" customWidth="1"/>
    <col min="15" max="16" width="11.5" customWidth="1"/>
    <col min="17" max="17" width="14.1640625" customWidth="1"/>
    <col min="18" max="18" width="11.1640625" customWidth="1"/>
  </cols>
  <sheetData>
    <row r="1" spans="1:6" x14ac:dyDescent="0.2">
      <c r="A1" s="3" t="s">
        <v>36</v>
      </c>
      <c r="B1" s="3"/>
      <c r="C1" s="3"/>
      <c r="D1" s="3"/>
      <c r="E1" s="3"/>
      <c r="F1" s="3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3" t="s">
        <v>61</v>
      </c>
      <c r="B3" s="3"/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 t="s">
        <v>0</v>
      </c>
      <c r="B5" s="3"/>
      <c r="C5" s="3"/>
      <c r="D5" s="3"/>
      <c r="E5" s="3"/>
      <c r="F5" s="3"/>
    </row>
    <row r="6" spans="1:6" x14ac:dyDescent="0.2">
      <c r="A6" s="3" t="s">
        <v>1</v>
      </c>
      <c r="B6" s="3"/>
      <c r="C6" s="3"/>
      <c r="D6" s="3"/>
      <c r="E6" s="3"/>
      <c r="F6" s="3"/>
    </row>
    <row r="7" spans="1:6" x14ac:dyDescent="0.2">
      <c r="A7" s="3" t="s">
        <v>47</v>
      </c>
      <c r="B7" s="3"/>
      <c r="C7" s="3"/>
      <c r="D7" s="3"/>
      <c r="E7" s="3"/>
      <c r="F7" s="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 t="s">
        <v>2</v>
      </c>
      <c r="B9" s="3"/>
      <c r="C9" s="3"/>
      <c r="D9" s="3"/>
      <c r="E9" s="3"/>
      <c r="F9" s="3"/>
    </row>
    <row r="10" spans="1:6" x14ac:dyDescent="0.2">
      <c r="A10" s="3" t="s">
        <v>11</v>
      </c>
      <c r="B10" s="3" t="s">
        <v>37</v>
      </c>
      <c r="C10" s="3"/>
      <c r="D10" s="3"/>
      <c r="E10" s="3"/>
      <c r="F10" s="3"/>
    </row>
    <row r="11" spans="1:6" x14ac:dyDescent="0.2">
      <c r="A11" s="3" t="s">
        <v>12</v>
      </c>
      <c r="B11" s="3" t="s">
        <v>38</v>
      </c>
      <c r="C11" s="3"/>
      <c r="D11" s="3"/>
      <c r="E11" s="3"/>
      <c r="F11" s="3"/>
    </row>
    <row r="12" spans="1:6" x14ac:dyDescent="0.2">
      <c r="A12" s="3" t="s">
        <v>13</v>
      </c>
      <c r="B12" s="3" t="s">
        <v>39</v>
      </c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 t="s">
        <v>3</v>
      </c>
      <c r="B14" s="3"/>
      <c r="C14" s="3"/>
      <c r="D14" s="3"/>
      <c r="E14" s="3"/>
      <c r="F14" s="3"/>
    </row>
    <row r="15" spans="1:6" x14ac:dyDescent="0.2">
      <c r="A15" s="3" t="s">
        <v>29</v>
      </c>
      <c r="B15" s="3" t="s">
        <v>40</v>
      </c>
      <c r="C15" s="3"/>
      <c r="D15" s="3"/>
      <c r="E15" s="3"/>
      <c r="F15" s="3"/>
    </row>
    <row r="16" spans="1:6" x14ac:dyDescent="0.2">
      <c r="A16" s="3" t="s">
        <v>14</v>
      </c>
      <c r="B16" s="3" t="s">
        <v>41</v>
      </c>
      <c r="C16" s="3"/>
      <c r="D16" s="3"/>
      <c r="E16" s="3"/>
      <c r="F16" s="3"/>
    </row>
    <row r="17" spans="1:6" x14ac:dyDescent="0.2">
      <c r="A17" s="3" t="s">
        <v>15</v>
      </c>
      <c r="B17" s="3" t="s">
        <v>42</v>
      </c>
      <c r="C17" s="3"/>
      <c r="D17" s="3"/>
      <c r="E17" s="3"/>
      <c r="F17" s="3"/>
    </row>
    <row r="18" spans="1:6" x14ac:dyDescent="0.2">
      <c r="A18" s="3" t="s">
        <v>16</v>
      </c>
      <c r="B18" s="3" t="s">
        <v>43</v>
      </c>
      <c r="C18" s="3"/>
      <c r="D18" s="3"/>
      <c r="E18" s="3"/>
      <c r="F18" s="3"/>
    </row>
    <row r="19" spans="1:6" x14ac:dyDescent="0.2">
      <c r="A19" s="3" t="s">
        <v>19</v>
      </c>
      <c r="B19" s="3" t="s">
        <v>45</v>
      </c>
      <c r="C19" s="3"/>
      <c r="D19" s="3"/>
      <c r="E19" s="3"/>
      <c r="F19" s="3"/>
    </row>
    <row r="20" spans="1:6" x14ac:dyDescent="0.2">
      <c r="A20" s="3" t="s">
        <v>8</v>
      </c>
      <c r="B20" s="3" t="s">
        <v>44</v>
      </c>
      <c r="C20" s="3"/>
      <c r="D20" s="3"/>
      <c r="E20" s="3"/>
      <c r="F20" s="3"/>
    </row>
    <row r="21" spans="1:6" x14ac:dyDescent="0.2">
      <c r="A21" s="3" t="s">
        <v>17</v>
      </c>
      <c r="B21" s="3" t="s">
        <v>46</v>
      </c>
      <c r="C21" s="3"/>
      <c r="D21" s="3"/>
      <c r="E21" s="3"/>
      <c r="F21" s="3"/>
    </row>
    <row r="23" spans="1:6" x14ac:dyDescent="0.2">
      <c r="A23" t="s">
        <v>4</v>
      </c>
    </row>
    <row r="25" spans="1:6" x14ac:dyDescent="0.2">
      <c r="A25" t="s">
        <v>25</v>
      </c>
      <c r="B25" s="12" t="s">
        <v>75</v>
      </c>
    </row>
    <row r="26" spans="1:6" x14ac:dyDescent="0.2">
      <c r="A26" t="s">
        <v>64</v>
      </c>
      <c r="B26" s="13" t="s">
        <v>94</v>
      </c>
    </row>
    <row r="27" spans="1:6" x14ac:dyDescent="0.2">
      <c r="A27" t="s">
        <v>6</v>
      </c>
      <c r="B27" t="s">
        <v>24</v>
      </c>
    </row>
    <row r="28" spans="1:6" x14ac:dyDescent="0.2">
      <c r="A28" t="s">
        <v>5</v>
      </c>
      <c r="B28" t="s">
        <v>78</v>
      </c>
    </row>
    <row r="29" spans="1:6" x14ac:dyDescent="0.2">
      <c r="A29" t="s">
        <v>21</v>
      </c>
      <c r="B29" t="s">
        <v>79</v>
      </c>
    </row>
    <row r="30" spans="1:6" x14ac:dyDescent="0.2">
      <c r="A30" t="s">
        <v>22</v>
      </c>
      <c r="B30" s="6" t="s">
        <v>81</v>
      </c>
      <c r="C30" s="6"/>
      <c r="D30" t="s">
        <v>26</v>
      </c>
    </row>
    <row r="31" spans="1:6" x14ac:dyDescent="0.2">
      <c r="A31" t="s">
        <v>23</v>
      </c>
      <c r="B31" s="6" t="s">
        <v>102</v>
      </c>
      <c r="C31" s="6"/>
    </row>
    <row r="32" spans="1:6" x14ac:dyDescent="0.2">
      <c r="A32" t="s">
        <v>56</v>
      </c>
      <c r="B32">
        <v>1</v>
      </c>
      <c r="C32" s="8"/>
    </row>
    <row r="33" spans="1:15" x14ac:dyDescent="0.2">
      <c r="A33" t="s">
        <v>59</v>
      </c>
      <c r="B33" s="11">
        <f>((B31-B30)*24+1)/B32</f>
        <v>8760.0000000000582</v>
      </c>
      <c r="C33" t="s">
        <v>58</v>
      </c>
    </row>
    <row r="34" spans="1:15" x14ac:dyDescent="0.2">
      <c r="A34" t="s">
        <v>60</v>
      </c>
      <c r="B34" s="11">
        <f>B33*B32</f>
        <v>8760.0000000000582</v>
      </c>
    </row>
    <row r="35" spans="1:15" x14ac:dyDescent="0.2">
      <c r="B35" s="4"/>
      <c r="C35" s="4"/>
    </row>
    <row r="36" spans="1:15" x14ac:dyDescent="0.2">
      <c r="A36" t="s">
        <v>67</v>
      </c>
      <c r="B36" s="14" t="s">
        <v>68</v>
      </c>
      <c r="C36" s="4"/>
    </row>
    <row r="37" spans="1:15" x14ac:dyDescent="0.2">
      <c r="A37" t="s">
        <v>28</v>
      </c>
      <c r="B37" s="5" t="s">
        <v>70</v>
      </c>
      <c r="C37" s="5"/>
      <c r="D37" t="s">
        <v>33</v>
      </c>
    </row>
    <row r="38" spans="1:15" x14ac:dyDescent="0.2">
      <c r="A38" t="s">
        <v>7</v>
      </c>
      <c r="B38" s="1">
        <v>1</v>
      </c>
      <c r="C38" s="1"/>
      <c r="D38" t="s">
        <v>34</v>
      </c>
    </row>
    <row r="39" spans="1:15" x14ac:dyDescent="0.2">
      <c r="B39" s="1"/>
      <c r="C39" s="1" t="s">
        <v>71</v>
      </c>
    </row>
    <row r="40" spans="1:15" x14ac:dyDescent="0.2">
      <c r="A40" t="s">
        <v>50</v>
      </c>
      <c r="B40" s="1" t="s">
        <v>52</v>
      </c>
      <c r="C40" s="1"/>
    </row>
    <row r="41" spans="1:15" x14ac:dyDescent="0.2">
      <c r="A41" t="s">
        <v>69</v>
      </c>
      <c r="B41" s="1" t="s">
        <v>74</v>
      </c>
      <c r="C41" s="1"/>
    </row>
    <row r="42" spans="1:15" x14ac:dyDescent="0.2">
      <c r="A42" t="s">
        <v>51</v>
      </c>
      <c r="B42" s="1" t="s">
        <v>53</v>
      </c>
      <c r="C42" s="1"/>
    </row>
    <row r="43" spans="1:15" x14ac:dyDescent="0.2">
      <c r="B43" s="1"/>
      <c r="C43" s="1"/>
      <c r="F43" t="s">
        <v>66</v>
      </c>
    </row>
    <row r="44" spans="1:15" x14ac:dyDescent="0.2">
      <c r="A44" t="s">
        <v>9</v>
      </c>
      <c r="I44" t="s">
        <v>57</v>
      </c>
    </row>
    <row r="45" spans="1:15" x14ac:dyDescent="0.2">
      <c r="D45" t="s">
        <v>49</v>
      </c>
      <c r="H45" t="s">
        <v>54</v>
      </c>
      <c r="O45" t="s">
        <v>48</v>
      </c>
    </row>
    <row r="48" spans="1:15" x14ac:dyDescent="0.2">
      <c r="A48" t="s">
        <v>62</v>
      </c>
    </row>
    <row r="49" spans="1:15" s="2" customFormat="1" ht="32" x14ac:dyDescent="0.2">
      <c r="A49" s="2" t="s">
        <v>11</v>
      </c>
      <c r="B49" s="2" t="s">
        <v>12</v>
      </c>
      <c r="C49" s="2" t="s">
        <v>35</v>
      </c>
      <c r="D49" s="2" t="s">
        <v>13</v>
      </c>
      <c r="E49" s="2" t="s">
        <v>20</v>
      </c>
      <c r="F49" s="9" t="s">
        <v>65</v>
      </c>
      <c r="G49" s="2" t="s">
        <v>76</v>
      </c>
      <c r="H49" s="2" t="s">
        <v>77</v>
      </c>
      <c r="I49" s="2" t="s">
        <v>14</v>
      </c>
      <c r="K49" s="2" t="s">
        <v>15</v>
      </c>
      <c r="M49" s="2" t="s">
        <v>19</v>
      </c>
      <c r="N49" s="2" t="s">
        <v>8</v>
      </c>
      <c r="O49" s="2" t="s">
        <v>73</v>
      </c>
    </row>
    <row r="50" spans="1:15" x14ac:dyDescent="0.2">
      <c r="A50" s="6" t="s">
        <v>31</v>
      </c>
      <c r="B50" t="s">
        <v>10</v>
      </c>
      <c r="C50" t="s">
        <v>10</v>
      </c>
      <c r="D50" t="s">
        <v>83</v>
      </c>
      <c r="G50">
        <v>1</v>
      </c>
      <c r="I50" s="5"/>
      <c r="K50" s="5"/>
      <c r="N50" s="5"/>
      <c r="O50" s="5"/>
    </row>
    <row r="51" spans="1:15" x14ac:dyDescent="0.2">
      <c r="A51" s="6" t="s">
        <v>30</v>
      </c>
      <c r="B51" t="s">
        <v>101</v>
      </c>
      <c r="C51" t="s">
        <v>80</v>
      </c>
      <c r="D51" t="s">
        <v>83</v>
      </c>
      <c r="I51" s="15" t="s">
        <v>82</v>
      </c>
      <c r="J51" t="str">
        <f>B42 &amp; "/time range/" &amp; B41</f>
        <v>$/time range/MW</v>
      </c>
      <c r="K51" s="5" t="s">
        <v>82</v>
      </c>
      <c r="L51" t="str">
        <f xml:space="preserve"> B42 &amp; "/" &amp; B41 &amp; B40</f>
        <v>$/MWh</v>
      </c>
      <c r="N51" s="5" t="s">
        <v>82</v>
      </c>
      <c r="O51" s="5" t="s">
        <v>82</v>
      </c>
    </row>
    <row r="52" spans="1:15" x14ac:dyDescent="0.2">
      <c r="A52" s="6" t="s">
        <v>92</v>
      </c>
      <c r="B52" t="s">
        <v>95</v>
      </c>
      <c r="C52" t="s">
        <v>98</v>
      </c>
      <c r="D52" t="s">
        <v>83</v>
      </c>
      <c r="E52" t="s">
        <v>91</v>
      </c>
      <c r="I52" s="15" t="s">
        <v>82</v>
      </c>
      <c r="K52" s="5" t="s">
        <v>82</v>
      </c>
      <c r="N52" s="5" t="s">
        <v>82</v>
      </c>
      <c r="O52" s="5" t="s">
        <v>82</v>
      </c>
    </row>
    <row r="53" spans="1:15" x14ac:dyDescent="0.2">
      <c r="A53" s="6" t="s">
        <v>93</v>
      </c>
      <c r="B53" t="s">
        <v>99</v>
      </c>
      <c r="C53" t="s">
        <v>90</v>
      </c>
      <c r="D53" t="s">
        <v>91</v>
      </c>
      <c r="I53" s="15" t="s">
        <v>82</v>
      </c>
      <c r="K53" s="5" t="s">
        <v>82</v>
      </c>
      <c r="M53" t="b">
        <v>1</v>
      </c>
      <c r="N53" s="5" t="s">
        <v>82</v>
      </c>
      <c r="O53" s="5" t="s">
        <v>82</v>
      </c>
    </row>
    <row r="54" spans="1:15" x14ac:dyDescent="0.2">
      <c r="A54" s="6" t="s">
        <v>92</v>
      </c>
      <c r="B54" t="s">
        <v>96</v>
      </c>
      <c r="C54" t="s">
        <v>97</v>
      </c>
      <c r="D54" t="s">
        <v>83</v>
      </c>
      <c r="E54" t="s">
        <v>91</v>
      </c>
      <c r="I54" s="15" t="s">
        <v>82</v>
      </c>
      <c r="K54" s="5" t="s">
        <v>82</v>
      </c>
      <c r="N54" s="5" t="s">
        <v>82</v>
      </c>
      <c r="O54" s="5" t="s">
        <v>82</v>
      </c>
    </row>
    <row r="55" spans="1:15" x14ac:dyDescent="0.2">
      <c r="A55" s="6" t="s">
        <v>30</v>
      </c>
      <c r="B55" t="s">
        <v>85</v>
      </c>
      <c r="C55" t="s">
        <v>86</v>
      </c>
      <c r="D55" t="s">
        <v>83</v>
      </c>
      <c r="I55" s="15" t="s">
        <v>82</v>
      </c>
      <c r="K55" s="5" t="s">
        <v>82</v>
      </c>
      <c r="N55" s="5" t="s">
        <v>82</v>
      </c>
      <c r="O55" s="5" t="s">
        <v>82</v>
      </c>
    </row>
    <row r="56" spans="1:15" x14ac:dyDescent="0.2">
      <c r="A56" s="6" t="s">
        <v>30</v>
      </c>
      <c r="B56" s="6" t="s">
        <v>100</v>
      </c>
      <c r="C56" t="s">
        <v>84</v>
      </c>
      <c r="D56" t="s">
        <v>72</v>
      </c>
      <c r="I56" s="15" t="s">
        <v>82</v>
      </c>
      <c r="K56" s="5" t="s">
        <v>82</v>
      </c>
      <c r="N56" s="5" t="s">
        <v>82</v>
      </c>
      <c r="O56" s="5" t="s">
        <v>82</v>
      </c>
    </row>
    <row r="57" spans="1:15" x14ac:dyDescent="0.2">
      <c r="A57" s="6" t="s">
        <v>87</v>
      </c>
      <c r="B57" t="s">
        <v>88</v>
      </c>
      <c r="C57" t="s">
        <v>89</v>
      </c>
      <c r="D57" t="s">
        <v>72</v>
      </c>
      <c r="E57" t="s">
        <v>83</v>
      </c>
      <c r="I57" s="15" t="s">
        <v>82</v>
      </c>
      <c r="K57" s="5" t="s">
        <v>82</v>
      </c>
      <c r="N57" s="5" t="s">
        <v>82</v>
      </c>
      <c r="O57" s="5" t="s">
        <v>82</v>
      </c>
    </row>
    <row r="58" spans="1:15" x14ac:dyDescent="0.2">
      <c r="A58" s="6"/>
      <c r="I58" s="15"/>
      <c r="K58" s="5"/>
      <c r="N58" s="5"/>
      <c r="O58" s="5"/>
    </row>
    <row r="60" spans="1:15" x14ac:dyDescent="0.2">
      <c r="A60" t="s">
        <v>63</v>
      </c>
    </row>
    <row r="62" spans="1:15" x14ac:dyDescent="0.2">
      <c r="A62" t="s">
        <v>27</v>
      </c>
    </row>
    <row r="63" spans="1:15" x14ac:dyDescent="0.2">
      <c r="A63" t="s">
        <v>18</v>
      </c>
    </row>
    <row r="64" spans="1:15" x14ac:dyDescent="0.2">
      <c r="A64" s="10" t="s">
        <v>32</v>
      </c>
      <c r="B64" s="10"/>
      <c r="C64" s="10"/>
      <c r="L64" s="7"/>
      <c r="M64" s="7"/>
    </row>
    <row r="65" spans="1:13" x14ac:dyDescent="0.2">
      <c r="A65" t="s">
        <v>55</v>
      </c>
      <c r="L65" s="7"/>
      <c r="M65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case_input_intermodel_one_node_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kcaldeira</dc:creator>
  <cp:lastModifiedBy>Alicia Wongel</cp:lastModifiedBy>
  <dcterms:created xsi:type="dcterms:W3CDTF">2023-02-16T21:48:06Z</dcterms:created>
  <dcterms:modified xsi:type="dcterms:W3CDTF">2024-11-15T00:14:12Z</dcterms:modified>
</cp:coreProperties>
</file>